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eras\Downloads\"/>
    </mc:Choice>
  </mc:AlternateContent>
  <xr:revisionPtr revIDLastSave="0" documentId="13_ncr:1_{5A8D37B7-FA94-4193-A329-01A5690F61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 19 al 23o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2" i="1" l="1"/>
  <c r="Z22" i="1"/>
  <c r="Y22" i="1"/>
  <c r="W16" i="1"/>
  <c r="S17" i="1" l="1"/>
  <c r="W17" i="1" s="1"/>
  <c r="U20" i="1" l="1"/>
  <c r="X20" i="1" s="1"/>
  <c r="S20" i="1"/>
  <c r="U19" i="1"/>
  <c r="X19" i="1" s="1"/>
  <c r="S19" i="1"/>
  <c r="U18" i="1"/>
  <c r="X18" i="1" s="1"/>
  <c r="S18" i="1"/>
  <c r="U17" i="1"/>
  <c r="X17" i="1" s="1"/>
  <c r="T17" i="1"/>
  <c r="X22" i="1" l="1"/>
  <c r="T19" i="1"/>
  <c r="W19" i="1"/>
  <c r="AA19" i="1" s="1"/>
  <c r="T20" i="1"/>
  <c r="W20" i="1"/>
  <c r="AA20" i="1" s="1"/>
  <c r="T18" i="1"/>
  <c r="W18" i="1"/>
  <c r="AA17" i="1"/>
  <c r="AA18" i="1" l="1"/>
  <c r="AA22" i="1" s="1"/>
  <c r="W22" i="1"/>
</calcChain>
</file>

<file path=xl/sharedStrings.xml><?xml version="1.0" encoding="utf-8"?>
<sst xmlns="http://schemas.openxmlformats.org/spreadsheetml/2006/main" count="46" uniqueCount="45">
  <si>
    <t>CONSTRUCTORA E INMOBILIARIA BOCAM S.A. DE C.V.</t>
  </si>
  <si>
    <t>NO.</t>
  </si>
  <si>
    <t>COMPAÑÍA</t>
  </si>
  <si>
    <t>AÑO</t>
  </si>
  <si>
    <t>CLIENTE / PROYECTO</t>
  </si>
  <si>
    <t>CVO.</t>
  </si>
  <si>
    <t>DESCRIPCIÓN DE CONTRATO / OBRA</t>
  </si>
  <si>
    <t>NO. CONTRATO CLIENTE</t>
  </si>
  <si>
    <t>REPORTE DE ASISTENCIA Y NÓMINA DEL PERSONAL</t>
  </si>
  <si>
    <t>NOMBRE</t>
  </si>
  <si>
    <t>CAT.</t>
  </si>
  <si>
    <t>SEMANA</t>
  </si>
  <si>
    <t>SALARIO</t>
  </si>
  <si>
    <t>SALARIO SEMANAL</t>
  </si>
  <si>
    <t>TIEMPO EXTRA</t>
  </si>
  <si>
    <t>GASTOS EXTRAS / VIÁTICOS</t>
  </si>
  <si>
    <t>DESCUENTOS</t>
  </si>
  <si>
    <t>SALARIO A PAGAR</t>
  </si>
  <si>
    <t>L</t>
  </si>
  <si>
    <t>M</t>
  </si>
  <si>
    <t>J</t>
  </si>
  <si>
    <t>V</t>
  </si>
  <si>
    <t>S</t>
  </si>
  <si>
    <t>D</t>
  </si>
  <si>
    <t>JOR 8 HRS</t>
  </si>
  <si>
    <t>C.HE</t>
  </si>
  <si>
    <t>No.</t>
  </si>
  <si>
    <t>L EX</t>
  </si>
  <si>
    <t>M EX</t>
  </si>
  <si>
    <t>MI</t>
  </si>
  <si>
    <t>MI EX</t>
  </si>
  <si>
    <t>J EX</t>
  </si>
  <si>
    <t>V EX</t>
  </si>
  <si>
    <t>S EX</t>
  </si>
  <si>
    <t>D EX</t>
  </si>
  <si>
    <t>DÍAS TRAB.</t>
  </si>
  <si>
    <t>TOTAL:</t>
  </si>
  <si>
    <t>REPORTE DE RESIDENTES</t>
  </si>
  <si>
    <t>SEMANA DEL  19 AL 23  DE  OCTUBRE DEL 2026</t>
  </si>
  <si>
    <t>Rojas Galeana German</t>
  </si>
  <si>
    <t>Molina Medina Aldahir</t>
  </si>
  <si>
    <t>Lead Software Architect</t>
  </si>
  <si>
    <t>Junior Software Development (Colaborador)</t>
  </si>
  <si>
    <t>iretum.com</t>
  </si>
  <si>
    <t>iretum ERP es una plataforma SaaS (Software as a Service) modular diseñada para coordinar las operaciones técnicas, operativas y financieras de BOCAM y la construcción. Su propósito central es gobernar el ciclo completo de las obras: integración de presupuestos base (matrices APU), compras y licitaciones, inventarios multialmacén, seguimiento físico en campo, nómina obrera por QR y Reconocimiento Facial y generación autónoma de pólizas contables entre otros modulos.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</si>
</sst>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3">
    <font>
      <sz val="11"/>
      <name val="Carlito"/>
    </font>
    <font>
      <b/>
      <sz val="14"/>
      <color rgb="FFFFFFFF"/>
      <name val="Carlito"/>
    </font>
    <font>
      <b/>
      <sz val="13"/>
      <color rgb="FF1F3A5F"/>
      <name val="Carlito"/>
    </font>
    <font>
      <b/>
      <sz val="9"/>
      <color rgb="FFFFFFFF"/>
      <name val="Carlito"/>
    </font>
    <font>
      <sz val="9"/>
      <color rgb="FF111827"/>
      <name val="Carlito"/>
    </font>
    <font>
      <b/>
      <sz val="12"/>
      <color rgb="FFFFFFFF"/>
      <name val="Carlito"/>
    </font>
    <font>
      <b/>
      <sz val="11"/>
      <color rgb="FF1F3A5F"/>
      <name val="Carlito"/>
    </font>
    <font>
      <b/>
      <sz val="10"/>
      <color rgb="FFFFFFFF"/>
      <name val="Carlito"/>
    </font>
    <font>
      <sz val="12"/>
      <name val="Carlito"/>
    </font>
    <font>
      <sz val="12"/>
      <color rgb="FF111827"/>
      <name val="Carlito"/>
    </font>
    <font>
      <b/>
      <sz val="10"/>
      <color theme="0"/>
      <name val="Carlito"/>
    </font>
    <font>
      <sz val="11"/>
      <color theme="0"/>
      <name val="Carlito"/>
    </font>
    <font>
      <sz val="8"/>
      <color rgb="FF111827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EF9E7"/>
      </patternFill>
    </fill>
    <fill>
      <patternFill patternType="solid">
        <fgColor rgb="FFEAF3F8"/>
      </patternFill>
    </fill>
    <fill>
      <patternFill patternType="solid">
        <fgColor rgb="FFFCECB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4" borderId="0" xfId="0" applyNumberFormat="1" applyFont="1" applyFill="1" applyBorder="1" applyAlignment="1">
      <alignment horizontal="center" vertical="center" wrapText="1"/>
    </xf>
    <xf numFmtId="0" fontId="4" fillId="6" borderId="0" xfId="0" applyNumberFormat="1" applyFont="1" applyFill="1" applyBorder="1" applyAlignment="1">
      <alignment horizontal="center" vertical="center" wrapText="1"/>
    </xf>
    <xf numFmtId="164" fontId="4" fillId="4" borderId="0" xfId="0" applyNumberFormat="1" applyFont="1" applyFill="1" applyBorder="1" applyAlignment="1">
      <alignment horizontal="center" vertical="center" wrapText="1"/>
    </xf>
    <xf numFmtId="164" fontId="4" fillId="6" borderId="0" xfId="0" applyNumberFormat="1" applyFont="1" applyFill="1" applyBorder="1" applyAlignment="1">
      <alignment horizontal="center" vertical="center" wrapText="1"/>
    </xf>
    <xf numFmtId="0" fontId="4" fillId="4" borderId="2" xfId="0" applyNumberFormat="1" applyFont="1" applyFill="1" applyBorder="1" applyAlignment="1">
      <alignment horizontal="center" vertical="center" wrapText="1"/>
    </xf>
    <xf numFmtId="0" fontId="4" fillId="5" borderId="2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0" xfId="0" applyFont="1"/>
    <xf numFmtId="0" fontId="9" fillId="4" borderId="2" xfId="0" applyNumberFormat="1" applyFont="1" applyFill="1" applyBorder="1" applyAlignment="1">
      <alignment vertical="center" wrapText="1"/>
    </xf>
    <xf numFmtId="0" fontId="4" fillId="6" borderId="2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4" fillId="7" borderId="2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7" xfId="0" applyNumberFormat="1" applyFont="1" applyFill="1" applyBorder="1" applyAlignment="1">
      <alignment horizontal="center" vertical="center" wrapText="1"/>
    </xf>
    <xf numFmtId="0" fontId="3" fillId="9" borderId="2" xfId="0" applyNumberFormat="1" applyFont="1" applyFill="1" applyBorder="1" applyAlignment="1">
      <alignment horizontal="center" vertical="center" wrapText="1"/>
    </xf>
    <xf numFmtId="0" fontId="10" fillId="2" borderId="0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 applyBorder="1" applyAlignment="1">
      <alignment horizontal="center" vertical="center"/>
    </xf>
    <xf numFmtId="164" fontId="10" fillId="2" borderId="0" xfId="0" applyNumberFormat="1" applyFont="1" applyFill="1" applyBorder="1" applyAlignment="1">
      <alignment horizontal="center" vertical="center"/>
    </xf>
    <xf numFmtId="0" fontId="0" fillId="10" borderId="0" xfId="0" applyFill="1"/>
    <xf numFmtId="0" fontId="1" fillId="8" borderId="0" xfId="0" applyNumberFormat="1" applyFont="1" applyFill="1" applyBorder="1" applyAlignment="1">
      <alignment horizontal="center" vertical="center"/>
    </xf>
    <xf numFmtId="0" fontId="0" fillId="8" borderId="0" xfId="0" applyFill="1"/>
    <xf numFmtId="0" fontId="2" fillId="3" borderId="2" xfId="0" applyNumberFormat="1" applyFont="1" applyFill="1" applyBorder="1" applyAlignment="1">
      <alignment horizontal="center" vertical="center"/>
    </xf>
    <xf numFmtId="0" fontId="0" fillId="0" borderId="2" xfId="0" applyBorder="1"/>
    <xf numFmtId="0" fontId="5" fillId="2" borderId="0" xfId="0" applyNumberFormat="1" applyFont="1" applyFill="1" applyBorder="1" applyAlignment="1">
      <alignment horizontal="center" vertical="center"/>
    </xf>
    <xf numFmtId="0" fontId="0" fillId="0" borderId="0" xfId="0"/>
    <xf numFmtId="0" fontId="6" fillId="3" borderId="0" xfId="0" applyNumberFormat="1" applyFont="1" applyFill="1" applyBorder="1" applyAlignment="1">
      <alignment horizontal="center" vertical="center"/>
    </xf>
    <xf numFmtId="0" fontId="9" fillId="4" borderId="3" xfId="0" applyNumberFormat="1" applyFont="1" applyFill="1" applyBorder="1" applyAlignment="1">
      <alignment horizontal="center" vertical="center" wrapText="1"/>
    </xf>
    <xf numFmtId="0" fontId="9" fillId="4" borderId="5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6" xfId="0" applyNumberFormat="1" applyFont="1" applyFill="1" applyBorder="1" applyAlignment="1">
      <alignment horizontal="center" vertical="center" wrapText="1"/>
    </xf>
    <xf numFmtId="0" fontId="9" fillId="4" borderId="4" xfId="0" applyNumberFormat="1" applyFont="1" applyFill="1" applyBorder="1" applyAlignment="1">
      <alignment horizontal="center" vertical="center" wrapText="1"/>
    </xf>
    <xf numFmtId="0" fontId="4" fillId="4" borderId="3" xfId="0" applyNumberFormat="1" applyFont="1" applyFill="1" applyBorder="1" applyAlignment="1">
      <alignment horizontal="center" vertical="center" wrapText="1"/>
    </xf>
    <xf numFmtId="0" fontId="4" fillId="4" borderId="4" xfId="0" applyNumberFormat="1" applyFont="1" applyFill="1" applyBorder="1" applyAlignment="1">
      <alignment horizontal="center" vertical="center" wrapText="1"/>
    </xf>
    <xf numFmtId="0" fontId="4" fillId="4" borderId="5" xfId="0" applyNumberFormat="1" applyFont="1" applyFill="1" applyBorder="1" applyAlignment="1">
      <alignment horizontal="center" vertical="center" wrapText="1"/>
    </xf>
    <xf numFmtId="0" fontId="7" fillId="2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 wrapText="1"/>
    </xf>
    <xf numFmtId="0" fontId="12" fillId="4" borderId="3" xfId="0" applyNumberFormat="1" applyFont="1" applyFill="1" applyBorder="1" applyAlignment="1">
      <alignment horizontal="center" vertical="center" wrapText="1"/>
    </xf>
    <xf numFmtId="0" fontId="12" fillId="4" borderId="4" xfId="0" applyNumberFormat="1" applyFont="1" applyFill="1" applyBorder="1" applyAlignment="1">
      <alignment horizontal="center" vertical="center" wrapText="1"/>
    </xf>
    <xf numFmtId="0" fontId="12" fillId="4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6">
    <dxf>
      <fill>
        <patternFill patternType="solid">
          <bgColor rgb="FFDDEBF7"/>
        </patternFill>
      </fill>
    </dxf>
    <dxf>
      <border outline="0">
        <left style="thin">
          <color indexed="64"/>
        </left>
      </border>
    </dxf>
    <dxf>
      <fill>
        <patternFill patternType="solid">
          <fgColor indexed="64"/>
          <bgColor rgb="FFFCECB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CB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CB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CB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CB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CB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CB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1F3A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eporteResidente" displayName="TablaReporteResidente" ref="B15:AA20">
  <tableColumns count="26">
    <tableColumn id="1" xr3:uid="{00000000-0010-0000-0000-000001000000}" name="No."/>
    <tableColumn id="2" xr3:uid="{00000000-0010-0000-0000-000002000000}" name="NOMBRE"/>
    <tableColumn id="4" xr3:uid="{00000000-0010-0000-0000-000004000000}" name="CAT."/>
    <tableColumn id="5" xr3:uid="{00000000-0010-0000-0000-000005000000}" name="L" dataDxfId="15"/>
    <tableColumn id="6" xr3:uid="{00000000-0010-0000-0000-000006000000}" name="L EX" dataDxfId="14"/>
    <tableColumn id="7" xr3:uid="{00000000-0010-0000-0000-000007000000}" name="M" dataDxfId="13"/>
    <tableColumn id="8" xr3:uid="{00000000-0010-0000-0000-000008000000}" name="M EX" dataDxfId="12"/>
    <tableColumn id="9" xr3:uid="{00000000-0010-0000-0000-000009000000}" name="MI" dataDxfId="11"/>
    <tableColumn id="10" xr3:uid="{00000000-0010-0000-0000-00000A000000}" name="MI EX" dataDxfId="10"/>
    <tableColumn id="11" xr3:uid="{00000000-0010-0000-0000-00000B000000}" name="J" dataDxfId="9"/>
    <tableColumn id="12" xr3:uid="{00000000-0010-0000-0000-00000C000000}" name="J EX" dataDxfId="8"/>
    <tableColumn id="13" xr3:uid="{00000000-0010-0000-0000-00000D000000}" name="V" dataDxfId="7"/>
    <tableColumn id="14" xr3:uid="{00000000-0010-0000-0000-00000E000000}" name="V EX" dataDxfId="6"/>
    <tableColumn id="15" xr3:uid="{00000000-0010-0000-0000-00000F000000}" name="S" dataDxfId="5"/>
    <tableColumn id="16" xr3:uid="{00000000-0010-0000-0000-000010000000}" name="S EX" dataDxfId="4"/>
    <tableColumn id="17" xr3:uid="{00000000-0010-0000-0000-000011000000}" name="D" dataDxfId="3"/>
    <tableColumn id="18" xr3:uid="{00000000-0010-0000-0000-000012000000}" name="D EX" dataDxfId="2"/>
    <tableColumn id="19" xr3:uid="{00000000-0010-0000-0000-000013000000}" name="DÍAS TRAB." dataDxfId="1"/>
    <tableColumn id="20" xr3:uid="{00000000-0010-0000-0000-000014000000}" name="JOR 8 HRS"/>
    <tableColumn id="21" xr3:uid="{00000000-0010-0000-0000-000015000000}" name="C.HE"/>
    <tableColumn id="22" xr3:uid="{00000000-0010-0000-0000-000016000000}" name="SALARIO"/>
    <tableColumn id="23" xr3:uid="{00000000-0010-0000-0000-000017000000}" name="SALARIO SEMANAL">
      <calculatedColumnFormula>IF(V16="","",ROUND((V16/5)*S16,2))</calculatedColumnFormula>
    </tableColumn>
    <tableColumn id="24" xr3:uid="{00000000-0010-0000-0000-000018000000}" name="TIEMPO EXTRA"/>
    <tableColumn id="25" xr3:uid="{00000000-0010-0000-0000-000019000000}" name="GASTOS EXTRAS / VIÁTICOS"/>
    <tableColumn id="26" xr3:uid="{00000000-0010-0000-0000-00001A000000}" name="DESCUENTOS"/>
    <tableColumn id="27" xr3:uid="{00000000-0010-0000-0000-00001B000000}" name="SALARIO A PAG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25"/>
  <sheetViews>
    <sheetView tabSelected="1" zoomScaleNormal="100" workbookViewId="0">
      <pane ySplit="1" topLeftCell="A2" activePane="bottomLeft" state="frozen"/>
      <selection pane="bottomLeft" activeCell="S19" sqref="S19"/>
    </sheetView>
  </sheetViews>
  <sheetFormatPr baseColWidth="10" defaultColWidth="9" defaultRowHeight="13.8"/>
  <cols>
    <col min="1" max="1" width="3" customWidth="1"/>
    <col min="2" max="2" width="6" customWidth="1"/>
    <col min="3" max="3" width="32" customWidth="1"/>
    <col min="4" max="4" width="20.09765625" customWidth="1"/>
    <col min="5" max="5" width="6.69921875" customWidth="1"/>
    <col min="6" max="6" width="6" customWidth="1"/>
    <col min="7" max="7" width="7.5" customWidth="1"/>
    <col min="8" max="18" width="6" customWidth="1"/>
    <col min="19" max="19" width="31.09765625" customWidth="1"/>
    <col min="20" max="20" width="12.69921875" customWidth="1"/>
    <col min="21" max="21" width="8" customWidth="1"/>
    <col min="22" max="22" width="12" customWidth="1"/>
    <col min="23" max="24" width="14" customWidth="1"/>
    <col min="25" max="25" width="16" customWidth="1"/>
    <col min="26" max="26" width="15" customWidth="1"/>
    <col min="27" max="27" width="14" customWidth="1"/>
  </cols>
  <sheetData>
    <row r="2" spans="2:27" ht="27.9" customHeight="1">
      <c r="B2" s="23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4" spans="2:27" ht="24" customHeight="1">
      <c r="B4" s="25" t="s">
        <v>37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6" spans="2:27" ht="39" customHeight="1">
      <c r="E6" s="1" t="s">
        <v>1</v>
      </c>
      <c r="F6" s="2"/>
      <c r="G6" s="33" t="s">
        <v>3</v>
      </c>
      <c r="H6" s="33"/>
      <c r="I6" s="33" t="s">
        <v>2</v>
      </c>
      <c r="J6" s="33"/>
      <c r="K6" s="33"/>
      <c r="L6" s="33" t="s">
        <v>4</v>
      </c>
      <c r="M6" s="33"/>
      <c r="N6" s="33"/>
      <c r="O6" s="33"/>
      <c r="P6" s="1" t="s">
        <v>5</v>
      </c>
      <c r="Q6" s="33" t="s">
        <v>6</v>
      </c>
      <c r="R6" s="33"/>
      <c r="S6" s="33"/>
      <c r="T6" s="33"/>
      <c r="U6" s="33"/>
      <c r="V6" s="33"/>
      <c r="W6" s="33"/>
      <c r="X6" s="33"/>
      <c r="Y6" s="32" t="s">
        <v>7</v>
      </c>
      <c r="Z6" s="32"/>
    </row>
    <row r="7" spans="2:27" s="10" customFormat="1" ht="39.75" customHeight="1">
      <c r="E7" s="30">
        <v>1</v>
      </c>
      <c r="F7" s="31"/>
      <c r="G7" s="30">
        <v>2026</v>
      </c>
      <c r="H7" s="31"/>
      <c r="I7" s="35" t="s">
        <v>0</v>
      </c>
      <c r="J7" s="36"/>
      <c r="K7" s="37"/>
      <c r="L7" s="30" t="s">
        <v>43</v>
      </c>
      <c r="M7" s="34"/>
      <c r="N7" s="34"/>
      <c r="O7" s="31"/>
      <c r="P7" s="11"/>
      <c r="Q7" s="40" t="s">
        <v>44</v>
      </c>
      <c r="R7" s="41"/>
      <c r="S7" s="41"/>
      <c r="T7" s="41"/>
      <c r="U7" s="41"/>
      <c r="V7" s="41"/>
      <c r="W7" s="41"/>
      <c r="X7" s="42"/>
      <c r="Y7" s="30"/>
      <c r="Z7" s="31"/>
    </row>
    <row r="10" spans="2:27" ht="21.9" customHeight="1">
      <c r="B10" s="27" t="s">
        <v>8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spans="2:27" ht="21.9" customHeight="1">
      <c r="B11" s="29" t="s">
        <v>38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spans="2:27">
      <c r="AA12" s="22"/>
    </row>
    <row r="13" spans="2:27" ht="27.9" customHeight="1">
      <c r="B13" s="1"/>
      <c r="C13" s="1"/>
      <c r="D13" s="1"/>
      <c r="E13" s="39" t="s">
        <v>11</v>
      </c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1"/>
      <c r="T13" s="1"/>
      <c r="U13" s="1"/>
      <c r="V13" s="1"/>
      <c r="W13" s="1"/>
      <c r="X13" s="1"/>
      <c r="Y13" s="1"/>
      <c r="Z13" s="1"/>
      <c r="AA13" s="1"/>
    </row>
    <row r="14" spans="2:27" ht="21.9" customHeight="1">
      <c r="B14" s="1"/>
      <c r="C14" s="1"/>
      <c r="D14" s="1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1"/>
      <c r="T14" s="1"/>
      <c r="U14" s="1"/>
      <c r="V14" s="1"/>
      <c r="W14" s="1"/>
      <c r="X14" s="1"/>
      <c r="Y14" s="1"/>
      <c r="Z14" s="1"/>
      <c r="AA14" s="1"/>
    </row>
    <row r="15" spans="2:27" ht="33.9" customHeight="1">
      <c r="B15" s="1" t="s">
        <v>26</v>
      </c>
      <c r="C15" s="1" t="s">
        <v>9</v>
      </c>
      <c r="D15" s="1" t="s">
        <v>10</v>
      </c>
      <c r="E15" s="1" t="s">
        <v>18</v>
      </c>
      <c r="F15" s="1" t="s">
        <v>27</v>
      </c>
      <c r="G15" s="1" t="s">
        <v>19</v>
      </c>
      <c r="H15" s="1" t="s">
        <v>28</v>
      </c>
      <c r="I15" s="1" t="s">
        <v>29</v>
      </c>
      <c r="J15" s="1" t="s">
        <v>30</v>
      </c>
      <c r="K15" s="1" t="s">
        <v>20</v>
      </c>
      <c r="L15" s="1" t="s">
        <v>31</v>
      </c>
      <c r="M15" s="1" t="s">
        <v>21</v>
      </c>
      <c r="N15" s="1" t="s">
        <v>32</v>
      </c>
      <c r="O15" s="1" t="s">
        <v>22</v>
      </c>
      <c r="P15" s="1" t="s">
        <v>33</v>
      </c>
      <c r="Q15" s="1" t="s">
        <v>23</v>
      </c>
      <c r="R15" s="1" t="s">
        <v>34</v>
      </c>
      <c r="S15" s="1" t="s">
        <v>35</v>
      </c>
      <c r="T15" s="1" t="s">
        <v>24</v>
      </c>
      <c r="U15" s="1" t="s">
        <v>25</v>
      </c>
      <c r="V15" s="1" t="s">
        <v>12</v>
      </c>
      <c r="W15" s="1" t="s">
        <v>13</v>
      </c>
      <c r="X15" s="1" t="s">
        <v>14</v>
      </c>
      <c r="Y15" s="1" t="s">
        <v>15</v>
      </c>
      <c r="Z15" s="1" t="s">
        <v>16</v>
      </c>
      <c r="AA15" s="1" t="s">
        <v>17</v>
      </c>
    </row>
    <row r="16" spans="2:27" s="14" customFormat="1" ht="16.5" customHeight="1">
      <c r="B16" s="13"/>
      <c r="C16" s="13"/>
      <c r="D16" s="13"/>
      <c r="E16" s="18">
        <v>8</v>
      </c>
      <c r="F16" s="18"/>
      <c r="G16" s="16">
        <v>9</v>
      </c>
      <c r="H16" s="18"/>
      <c r="I16" s="16">
        <v>10</v>
      </c>
      <c r="J16" s="18"/>
      <c r="K16" s="16">
        <v>11</v>
      </c>
      <c r="L16" s="18"/>
      <c r="M16" s="16">
        <v>12</v>
      </c>
      <c r="N16" s="18"/>
      <c r="O16" s="16">
        <v>13</v>
      </c>
      <c r="P16" s="18"/>
      <c r="Q16" s="16">
        <v>14</v>
      </c>
      <c r="R16" s="18"/>
      <c r="S16" s="17"/>
      <c r="T16" s="13"/>
      <c r="U16" s="13"/>
      <c r="V16" s="13"/>
      <c r="W16" s="13" t="str">
        <f>IF(V16="","",ROUND((V16/5)*S16,2))</f>
        <v/>
      </c>
      <c r="X16" s="13"/>
      <c r="Y16" s="13"/>
      <c r="Z16" s="13"/>
      <c r="AA16" s="13"/>
    </row>
    <row r="17" spans="2:27" ht="25.5" customHeight="1">
      <c r="B17" s="12">
        <v>1</v>
      </c>
      <c r="C17" s="7" t="s">
        <v>39</v>
      </c>
      <c r="D17" s="3" t="s">
        <v>41</v>
      </c>
      <c r="E17" s="8">
        <v>1</v>
      </c>
      <c r="F17" s="15"/>
      <c r="G17" s="8">
        <v>1</v>
      </c>
      <c r="H17" s="15"/>
      <c r="I17" s="8">
        <v>1</v>
      </c>
      <c r="J17" s="15"/>
      <c r="K17" s="8">
        <v>1</v>
      </c>
      <c r="L17" s="15"/>
      <c r="M17" s="8">
        <v>1</v>
      </c>
      <c r="N17" s="15"/>
      <c r="O17" s="8"/>
      <c r="P17" s="15"/>
      <c r="Q17" s="8"/>
      <c r="R17" s="15"/>
      <c r="S17" s="4">
        <f>SUM(E17,G17,I17,K17,M17)</f>
        <v>5</v>
      </c>
      <c r="T17" s="4">
        <f t="shared" ref="T17:T20" si="0">S17*8</f>
        <v>40</v>
      </c>
      <c r="U17" s="4">
        <f t="shared" ref="U17:U20" si="1">SUM(F17,H17,J17,L17,N17,P17,R17)</f>
        <v>0</v>
      </c>
      <c r="V17" s="5">
        <v>6000</v>
      </c>
      <c r="W17" s="6">
        <f>IF(V17="","",ROUND((V17/5)*S17,2))</f>
        <v>6000</v>
      </c>
      <c r="X17" s="6">
        <f t="shared" ref="X17:X20" si="2">IF(U17&gt;0,ROUND(U17*((V17/7)/8)*2,2),0)</f>
        <v>0</v>
      </c>
      <c r="Y17" s="5"/>
      <c r="Z17" s="5"/>
      <c r="AA17" s="6">
        <f t="shared" ref="AA17:AA20" si="3">IF(V17="","",ROUND(W17+X17+N(Y17)-N(Z17),2))</f>
        <v>6000</v>
      </c>
    </row>
    <row r="18" spans="2:27" ht="26.25" customHeight="1">
      <c r="B18" s="12">
        <v>2</v>
      </c>
      <c r="C18" s="7" t="s">
        <v>40</v>
      </c>
      <c r="D18" s="3" t="s">
        <v>42</v>
      </c>
      <c r="E18" s="8">
        <v>1</v>
      </c>
      <c r="F18" s="15"/>
      <c r="G18" s="8">
        <v>1</v>
      </c>
      <c r="H18" s="15"/>
      <c r="I18" s="8">
        <v>1</v>
      </c>
      <c r="J18" s="15"/>
      <c r="K18" s="8">
        <v>1</v>
      </c>
      <c r="L18" s="15"/>
      <c r="M18" s="8">
        <v>1</v>
      </c>
      <c r="N18" s="15"/>
      <c r="O18" s="8"/>
      <c r="P18" s="15"/>
      <c r="Q18" s="8"/>
      <c r="R18" s="15"/>
      <c r="S18" s="4">
        <f t="shared" ref="S18:S20" si="4">SUM(E18,G18,I18,K18,M18,O18,Q18)</f>
        <v>5</v>
      </c>
      <c r="T18" s="4">
        <f t="shared" si="0"/>
        <v>40</v>
      </c>
      <c r="U18" s="4">
        <f t="shared" si="1"/>
        <v>0</v>
      </c>
      <c r="V18" s="5">
        <v>1100</v>
      </c>
      <c r="W18" s="6">
        <f t="shared" ref="W18:W20" si="5">IF(V18="","",ROUND((V18/5)*S18,2))</f>
        <v>1100</v>
      </c>
      <c r="X18" s="6">
        <f t="shared" si="2"/>
        <v>0</v>
      </c>
      <c r="Y18" s="5"/>
      <c r="Z18" s="5"/>
      <c r="AA18" s="6">
        <f t="shared" si="3"/>
        <v>1100</v>
      </c>
    </row>
    <row r="19" spans="2:27" ht="30.75" customHeight="1">
      <c r="B19" s="12">
        <v>5</v>
      </c>
      <c r="C19" s="7"/>
      <c r="D19" s="3"/>
      <c r="E19" s="8"/>
      <c r="F19" s="15"/>
      <c r="G19" s="8"/>
      <c r="H19" s="15"/>
      <c r="I19" s="8"/>
      <c r="J19" s="15"/>
      <c r="K19" s="8"/>
      <c r="L19" s="15"/>
      <c r="M19" s="8"/>
      <c r="N19" s="15"/>
      <c r="O19" s="8"/>
      <c r="P19" s="15"/>
      <c r="Q19" s="8"/>
      <c r="R19" s="15"/>
      <c r="S19" s="4">
        <f t="shared" si="4"/>
        <v>0</v>
      </c>
      <c r="T19" s="4">
        <f t="shared" si="0"/>
        <v>0</v>
      </c>
      <c r="U19" s="4">
        <f t="shared" si="1"/>
        <v>0</v>
      </c>
      <c r="V19" s="5"/>
      <c r="W19" s="6" t="str">
        <f t="shared" si="5"/>
        <v/>
      </c>
      <c r="X19" s="6">
        <f t="shared" si="2"/>
        <v>0</v>
      </c>
      <c r="Y19" s="5"/>
      <c r="Z19" s="5"/>
      <c r="AA19" s="6" t="str">
        <f t="shared" si="3"/>
        <v/>
      </c>
    </row>
    <row r="20" spans="2:27" ht="29.25" customHeight="1">
      <c r="B20" s="12">
        <v>6</v>
      </c>
      <c r="C20" s="7"/>
      <c r="D20" s="3"/>
      <c r="E20" s="8"/>
      <c r="F20" s="15"/>
      <c r="G20" s="8"/>
      <c r="H20" s="15"/>
      <c r="I20" s="8"/>
      <c r="J20" s="15"/>
      <c r="K20" s="8"/>
      <c r="L20" s="15"/>
      <c r="M20" s="8"/>
      <c r="N20" s="15"/>
      <c r="O20" s="8"/>
      <c r="P20" s="15"/>
      <c r="Q20" s="8"/>
      <c r="R20" s="15"/>
      <c r="S20" s="4">
        <f t="shared" si="4"/>
        <v>0</v>
      </c>
      <c r="T20" s="4">
        <f t="shared" si="0"/>
        <v>0</v>
      </c>
      <c r="U20" s="4">
        <f t="shared" si="1"/>
        <v>0</v>
      </c>
      <c r="V20" s="5"/>
      <c r="W20" s="6" t="str">
        <f t="shared" si="5"/>
        <v/>
      </c>
      <c r="X20" s="6">
        <f t="shared" si="2"/>
        <v>0</v>
      </c>
      <c r="Y20" s="5"/>
      <c r="Z20" s="5"/>
      <c r="AA20" s="6" t="str">
        <f t="shared" si="3"/>
        <v/>
      </c>
    </row>
    <row r="21" spans="2:27"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2:27">
      <c r="Q22" s="38" t="s">
        <v>36</v>
      </c>
      <c r="R22" s="38"/>
      <c r="S22" s="19"/>
      <c r="T22" s="19"/>
      <c r="U22" s="19"/>
      <c r="V22" s="21">
        <f>SUM(V17:V20)</f>
        <v>7100</v>
      </c>
      <c r="W22" s="20">
        <f>SUM(W16:W20)</f>
        <v>7100</v>
      </c>
      <c r="X22" s="20">
        <f>SUM(X16:X20)</f>
        <v>0</v>
      </c>
      <c r="Y22" s="20">
        <f>SUM(Y16:Y20)</f>
        <v>0</v>
      </c>
      <c r="Z22" s="20">
        <f>SUM(Z16:Z20)</f>
        <v>0</v>
      </c>
      <c r="AA22" s="20">
        <f>SUM(AA16:AA20)</f>
        <v>7100</v>
      </c>
    </row>
    <row r="25" spans="2:27" ht="38.1" customHeight="1"/>
  </sheetData>
  <mergeCells count="17">
    <mergeCell ref="Q22:R22"/>
    <mergeCell ref="E13:R14"/>
    <mergeCell ref="E7:F7"/>
    <mergeCell ref="G6:H6"/>
    <mergeCell ref="B2:AA2"/>
    <mergeCell ref="B4:AA4"/>
    <mergeCell ref="B10:AA10"/>
    <mergeCell ref="B11:AA11"/>
    <mergeCell ref="G7:H7"/>
    <mergeCell ref="Y6:Z6"/>
    <mergeCell ref="Y7:Z7"/>
    <mergeCell ref="Q6:X6"/>
    <mergeCell ref="Q7:X7"/>
    <mergeCell ref="L6:O6"/>
    <mergeCell ref="L7:O7"/>
    <mergeCell ref="I6:K6"/>
    <mergeCell ref="I7:K7"/>
  </mergeCells>
  <conditionalFormatting sqref="X16:X20">
    <cfRule type="cellIs" dxfId="0" priority="1" operator="greaterThan">
      <formula>0</formula>
    </cfRule>
  </conditionalFormatting>
  <dataValidations count="2">
    <dataValidation type="list" sqref="E16:E20 Q16:Q20 O16:O20 M16:M20 K16:K20 I16:I20 G16:G20" xr:uid="{00000000-0002-0000-0000-000000000000}">
      <formula1>"0,0.5,1"</formula1>
    </dataValidation>
    <dataValidation type="decimal" operator="greaterThanOrEqual" sqref="F16:F20 R16:R20 P16:P20 N16:N20 L16:L20 J16:J20 H16:H20" xr:uid="{00000000-0002-0000-0000-000007000000}">
      <formula1>0</formula1>
    </dataValidation>
  </dataValidations>
  <pageMargins left="0.7" right="0.7" top="0.75" bottom="0.75" header="0.3" footer="0.3"/>
  <pageSetup orientation="portrait" r:id="rId1"/>
  <ignoredErrors>
    <ignoredError sqref="F20 F18 F19 H19 H18 H17 J17 J18 J19 N17:R17 N18:R18 N19:R19 N20:R20" listDataValidatio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 19 al 23oct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HUBI CONSTRUCCIONES</dc:creator>
  <cp:lastModifiedBy>Germán Rojas</cp:lastModifiedBy>
  <dcterms:created xsi:type="dcterms:W3CDTF">2026-06-17T18:33:54Z</dcterms:created>
  <dcterms:modified xsi:type="dcterms:W3CDTF">2026-10-26T15:34:51Z</dcterms:modified>
</cp:coreProperties>
</file>